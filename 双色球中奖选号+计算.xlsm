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filterPrivacy="1" codeName="ThisWorkbook" defaultThemeVersion="124226"/>
  <xr:revisionPtr revIDLastSave="0" documentId="13_ncr:1_{B470FA07-E329-4681-9CA5-196C00B9382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选号" sheetId="2" r:id="rId1"/>
    <sheet name="查询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4" i="1"/>
</calcChain>
</file>

<file path=xl/sharedStrings.xml><?xml version="1.0" encoding="utf-8"?>
<sst xmlns="http://schemas.openxmlformats.org/spreadsheetml/2006/main" count="50" uniqueCount="35">
  <si>
    <t>所选号码</t>
    <phoneticPr fontId="1" type="noConversion"/>
  </si>
  <si>
    <t>一注</t>
    <phoneticPr fontId="1" type="noConversion"/>
  </si>
  <si>
    <t>二注</t>
    <phoneticPr fontId="1" type="noConversion"/>
  </si>
  <si>
    <t>三注</t>
    <phoneticPr fontId="1" type="noConversion"/>
  </si>
  <si>
    <t>四注</t>
    <phoneticPr fontId="1" type="noConversion"/>
  </si>
  <si>
    <t>五注</t>
    <phoneticPr fontId="1" type="noConversion"/>
  </si>
  <si>
    <t>中奖号码</t>
    <phoneticPr fontId="1" type="noConversion"/>
  </si>
  <si>
    <t>匹配数量</t>
    <phoneticPr fontId="1" type="noConversion"/>
  </si>
  <si>
    <t>中奖情况</t>
    <phoneticPr fontId="1" type="noConversion"/>
  </si>
  <si>
    <t>奖金</t>
    <phoneticPr fontId="1" type="noConversion"/>
  </si>
  <si>
    <t>一等奖</t>
  </si>
  <si>
    <t>浮动</t>
  </si>
  <si>
    <t>二等奖</t>
  </si>
  <si>
    <t>三等奖</t>
  </si>
  <si>
    <t>3,000元</t>
  </si>
  <si>
    <t>四等奖</t>
  </si>
  <si>
    <t>200元</t>
  </si>
  <si>
    <t>五等奖</t>
  </si>
  <si>
    <t>10元</t>
  </si>
  <si>
    <t>六等奖</t>
  </si>
  <si>
    <t>5元</t>
  </si>
  <si>
    <t>①</t>
  </si>
  <si>
    <t>②</t>
  </si>
  <si>
    <t>②</t>
    <phoneticPr fontId="1" type="noConversion"/>
  </si>
  <si>
    <t>③</t>
  </si>
  <si>
    <t>③</t>
    <phoneticPr fontId="1" type="noConversion"/>
  </si>
  <si>
    <t>④</t>
  </si>
  <si>
    <t>④</t>
    <phoneticPr fontId="1" type="noConversion"/>
  </si>
  <si>
    <t>⑤</t>
  </si>
  <si>
    <t>⑤</t>
    <phoneticPr fontId="1" type="noConversion"/>
  </si>
  <si>
    <t>⑥</t>
  </si>
  <si>
    <t>⑥</t>
    <phoneticPr fontId="1" type="noConversion"/>
  </si>
  <si>
    <t>⑦</t>
  </si>
  <si>
    <t>⑦</t>
    <phoneticPr fontId="1" type="noConversion"/>
  </si>
  <si>
    <t>匹配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</si>
</sst>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rgb="FF231815"/>
      <name val="微软雅黑"/>
      <family val="2"/>
      <charset val="134"/>
    </font>
    <font>
      <b/>
      <sz val="11"/>
      <color theme="1"/>
      <name val="楷体"/>
      <family val="3"/>
      <charset val="134"/>
    </font>
    <font>
      <sz val="11"/>
      <color theme="1"/>
      <name val="楷体"/>
      <family val="3"/>
      <charset val="134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8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4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4" borderId="1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 wrapText="1"/>
    </xf>
    <xf numFmtId="0" fontId="2" fillId="4" borderId="3" xfId="0" applyFont="1" applyFill="1" applyBorder="1" applyAlignment="1">
      <alignment vertical="center" wrapText="1"/>
    </xf>
    <xf numFmtId="0" fontId="0" fillId="0" borderId="4" xfId="0" applyBorder="1"/>
    <xf numFmtId="0" fontId="2" fillId="4" borderId="5" xfId="0" applyFont="1" applyFill="1" applyBorder="1" applyAlignment="1">
      <alignment vertical="center" wrapText="1"/>
    </xf>
    <xf numFmtId="0" fontId="0" fillId="0" borderId="8" xfId="0" applyBorder="1"/>
    <xf numFmtId="0" fontId="3" fillId="2" borderId="14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</xdr:row>
          <xdr:rowOff>7620</xdr:rowOff>
        </xdr:from>
        <xdr:to>
          <xdr:col>11</xdr:col>
          <xdr:colOff>7620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4</xdr:row>
          <xdr:rowOff>175260</xdr:rowOff>
        </xdr:from>
        <xdr:to>
          <xdr:col>10</xdr:col>
          <xdr:colOff>601980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1</xdr:row>
          <xdr:rowOff>182880</xdr:rowOff>
        </xdr:from>
        <xdr:to>
          <xdr:col>14</xdr:col>
          <xdr:colOff>236220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查询中奖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30480</xdr:colOff>
      <xdr:row>2</xdr:row>
      <xdr:rowOff>38100</xdr:rowOff>
    </xdr:from>
    <xdr:to>
      <xdr:col>18</xdr:col>
      <xdr:colOff>403860</xdr:colOff>
      <xdr:row>2</xdr:row>
      <xdr:rowOff>160020</xdr:rowOff>
    </xdr:to>
    <xdr:pic>
      <xdr:nvPicPr>
        <xdr:cNvPr id="8" name="图片 7" descr="https://www.cwl.gov.cn/images/jjdzbSsq0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3680" y="411480"/>
          <a:ext cx="982980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30480</xdr:colOff>
      <xdr:row>3</xdr:row>
      <xdr:rowOff>30480</xdr:rowOff>
    </xdr:from>
    <xdr:to>
      <xdr:col>18</xdr:col>
      <xdr:colOff>403860</xdr:colOff>
      <xdr:row>3</xdr:row>
      <xdr:rowOff>152400</xdr:rowOff>
    </xdr:to>
    <xdr:pic>
      <xdr:nvPicPr>
        <xdr:cNvPr id="9" name="图片 8" descr="https://www.cwl.gov.cn/images/jjdzbSsq0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3680" y="601980"/>
          <a:ext cx="982980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30480</xdr:colOff>
      <xdr:row>4</xdr:row>
      <xdr:rowOff>38100</xdr:rowOff>
    </xdr:from>
    <xdr:to>
      <xdr:col>18</xdr:col>
      <xdr:colOff>403860</xdr:colOff>
      <xdr:row>4</xdr:row>
      <xdr:rowOff>160020</xdr:rowOff>
    </xdr:to>
    <xdr:pic>
      <xdr:nvPicPr>
        <xdr:cNvPr id="10" name="图片 9" descr="https://www.cwl.gov.cn/images/jjdzbSsq0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3680" y="800100"/>
          <a:ext cx="982980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</xdr:colOff>
      <xdr:row>5</xdr:row>
      <xdr:rowOff>45720</xdr:rowOff>
    </xdr:from>
    <xdr:to>
      <xdr:col>18</xdr:col>
      <xdr:colOff>411480</xdr:colOff>
      <xdr:row>6</xdr:row>
      <xdr:rowOff>167640</xdr:rowOff>
    </xdr:to>
    <xdr:pic>
      <xdr:nvPicPr>
        <xdr:cNvPr id="11" name="图片 10" descr="https://www.cwl.gov.cn/images/jjdzbSsq04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998220"/>
          <a:ext cx="98298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</xdr:colOff>
      <xdr:row>7</xdr:row>
      <xdr:rowOff>30480</xdr:rowOff>
    </xdr:from>
    <xdr:to>
      <xdr:col>18</xdr:col>
      <xdr:colOff>411480</xdr:colOff>
      <xdr:row>8</xdr:row>
      <xdr:rowOff>144780</xdr:rowOff>
    </xdr:to>
    <xdr:pic>
      <xdr:nvPicPr>
        <xdr:cNvPr id="12" name="图片 11" descr="https://www.cwl.gov.cn/images/jjdzbSsq05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1363980"/>
          <a:ext cx="98298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30480</xdr:colOff>
      <xdr:row>9</xdr:row>
      <xdr:rowOff>30480</xdr:rowOff>
    </xdr:from>
    <xdr:to>
      <xdr:col>18</xdr:col>
      <xdr:colOff>403860</xdr:colOff>
      <xdr:row>11</xdr:row>
      <xdr:rowOff>160020</xdr:rowOff>
    </xdr:to>
    <xdr:pic>
      <xdr:nvPicPr>
        <xdr:cNvPr id="13" name="图片 12" descr="https://www.cwl.gov.cn/images/jjdzbSsq06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3680" y="1744980"/>
          <a:ext cx="98298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8</xdr:row>
          <xdr:rowOff>7620</xdr:rowOff>
        </xdr:from>
        <xdr:to>
          <xdr:col>14</xdr:col>
          <xdr:colOff>220980</xdr:colOff>
          <xdr:row>12</xdr:row>
          <xdr:rowOff>53340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57C8-5941-4F57-9F5E-DFF45458AA75}">
  <sheetPr codeName="Sheet2"/>
  <dimension ref="A1:K8"/>
  <sheetViews>
    <sheetView tabSelected="1" workbookViewId="0">
      <selection activeCell="T4" sqref="T4"/>
    </sheetView>
  </sheetViews>
  <sheetFormatPr defaultRowHeight="14.4" x14ac:dyDescent="0.25"/>
  <sheetData>
    <row r="1" spans="1:11" ht="15" thickBot="1" x14ac:dyDescent="0.3">
      <c r="A1" s="7" t="s">
        <v>0</v>
      </c>
      <c r="B1" s="23" t="s">
        <v>21</v>
      </c>
      <c r="C1" s="23" t="s">
        <v>22</v>
      </c>
      <c r="D1" s="23" t="s">
        <v>24</v>
      </c>
      <c r="E1" s="23" t="s">
        <v>26</v>
      </c>
      <c r="F1" s="23" t="s">
        <v>28</v>
      </c>
      <c r="G1" s="23" t="s">
        <v>30</v>
      </c>
      <c r="H1" s="24" t="s">
        <v>32</v>
      </c>
    </row>
    <row r="2" spans="1:11" x14ac:dyDescent="0.25">
      <c r="A2" s="11" t="s">
        <v>1</v>
      </c>
      <c r="B2" s="11"/>
      <c r="C2" s="11"/>
      <c r="D2" s="11"/>
      <c r="E2" s="11"/>
      <c r="F2" s="11"/>
      <c r="G2" s="11"/>
      <c r="H2" s="11"/>
    </row>
    <row r="3" spans="1:11" x14ac:dyDescent="0.25">
      <c r="A3" s="13" t="s">
        <v>2</v>
      </c>
      <c r="B3" s="29"/>
      <c r="C3" s="29"/>
      <c r="D3" s="29"/>
      <c r="E3" s="29"/>
      <c r="F3" s="29"/>
      <c r="G3" s="29"/>
      <c r="H3" s="29"/>
      <c r="I3" s="33"/>
      <c r="J3" s="33"/>
      <c r="K3" s="33"/>
    </row>
    <row r="4" spans="1:11" x14ac:dyDescent="0.25">
      <c r="A4" s="13" t="s">
        <v>3</v>
      </c>
      <c r="B4" s="29"/>
      <c r="C4" s="29"/>
      <c r="D4" s="29"/>
      <c r="E4" s="29"/>
      <c r="F4" s="29"/>
      <c r="G4" s="29"/>
      <c r="H4" s="29"/>
      <c r="I4" s="33"/>
      <c r="J4" s="33"/>
      <c r="K4" s="33"/>
    </row>
    <row r="5" spans="1:11" x14ac:dyDescent="0.25">
      <c r="A5" s="13" t="s">
        <v>4</v>
      </c>
      <c r="B5" s="29"/>
      <c r="C5" s="29"/>
      <c r="D5" s="29"/>
      <c r="E5" s="29"/>
      <c r="F5" s="29"/>
      <c r="G5" s="29"/>
      <c r="H5" s="29"/>
      <c r="I5" s="33"/>
      <c r="J5" s="33"/>
      <c r="K5" s="33"/>
    </row>
    <row r="6" spans="1:11" ht="15" thickBot="1" x14ac:dyDescent="0.3">
      <c r="A6" s="15" t="s">
        <v>5</v>
      </c>
      <c r="B6" s="29"/>
      <c r="C6" s="29"/>
      <c r="D6" s="29"/>
      <c r="E6" s="29"/>
      <c r="F6" s="29"/>
      <c r="G6" s="29"/>
      <c r="H6" s="29"/>
      <c r="I6" s="33"/>
      <c r="J6" s="33"/>
      <c r="K6" s="33"/>
    </row>
    <row r="7" spans="1:11" x14ac:dyDescent="0.25">
      <c r="B7" s="33"/>
      <c r="C7" s="33"/>
      <c r="D7" s="33"/>
      <c r="E7" s="33"/>
      <c r="F7" s="33"/>
      <c r="G7" s="33"/>
      <c r="H7" s="33"/>
      <c r="I7" s="33"/>
      <c r="J7" s="33"/>
      <c r="K7" s="33"/>
    </row>
    <row r="8" spans="1:11" x14ac:dyDescent="0.25">
      <c r="B8" s="33"/>
      <c r="C8" s="33"/>
      <c r="D8" s="33"/>
      <c r="E8" s="33"/>
      <c r="F8" s="33"/>
      <c r="G8" s="33"/>
      <c r="H8" s="33"/>
      <c r="I8" s="33"/>
      <c r="J8" s="33"/>
      <c r="K8" s="3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N">
                <anchor moveWithCells="1" sizeWithCells="1">
                  <from>
                    <xdr:col>8</xdr:col>
                    <xdr:colOff>601980</xdr:colOff>
                    <xdr:row>1</xdr:row>
                    <xdr:rowOff>7620</xdr:rowOff>
                  </from>
                  <to>
                    <xdr:col>11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win">
                <anchor moveWithCells="1" sizeWithCells="1">
                  <from>
                    <xdr:col>8</xdr:col>
                    <xdr:colOff>594360</xdr:colOff>
                    <xdr:row>4</xdr:row>
                    <xdr:rowOff>175260</xdr:rowOff>
                  </from>
                  <to>
                    <xdr:col>10</xdr:col>
                    <xdr:colOff>601980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2"/>
  <sheetViews>
    <sheetView workbookViewId="0">
      <selection activeCell="M19" sqref="M19"/>
    </sheetView>
  </sheetViews>
  <sheetFormatPr defaultRowHeight="14.4" x14ac:dyDescent="0.25"/>
  <sheetData>
    <row r="1" spans="1:19" x14ac:dyDescent="0.25">
      <c r="A1" s="25" t="s">
        <v>6</v>
      </c>
      <c r="B1" s="26" t="s">
        <v>21</v>
      </c>
      <c r="C1" s="26" t="s">
        <v>23</v>
      </c>
      <c r="D1" s="26" t="s">
        <v>25</v>
      </c>
      <c r="E1" s="26" t="s">
        <v>27</v>
      </c>
      <c r="F1" s="26" t="s">
        <v>29</v>
      </c>
      <c r="G1" s="26" t="s">
        <v>31</v>
      </c>
      <c r="H1" s="27" t="s">
        <v>33</v>
      </c>
      <c r="I1" s="6"/>
      <c r="J1" s="6"/>
      <c r="K1" s="6"/>
      <c r="L1" s="6"/>
    </row>
    <row r="2" spans="1:19" ht="15" thickBot="1" x14ac:dyDescent="0.3">
      <c r="A2" s="28"/>
      <c r="B2" s="11"/>
      <c r="C2" s="11"/>
      <c r="D2" s="11"/>
      <c r="E2" s="11"/>
      <c r="F2" s="11"/>
      <c r="G2" s="11"/>
      <c r="H2" s="11"/>
      <c r="I2" s="6"/>
      <c r="J2" s="6"/>
      <c r="K2" s="6"/>
      <c r="L2" s="6"/>
    </row>
    <row r="3" spans="1:19" ht="15.6" thickBot="1" x14ac:dyDescent="0.3">
      <c r="A3" s="7" t="s">
        <v>0</v>
      </c>
      <c r="B3" s="23" t="s">
        <v>21</v>
      </c>
      <c r="C3" s="23" t="s">
        <v>22</v>
      </c>
      <c r="D3" s="23" t="s">
        <v>24</v>
      </c>
      <c r="E3" s="23" t="s">
        <v>26</v>
      </c>
      <c r="F3" s="23" t="s">
        <v>28</v>
      </c>
      <c r="G3" s="23" t="s">
        <v>30</v>
      </c>
      <c r="H3" s="24" t="s">
        <v>32</v>
      </c>
      <c r="I3" s="23" t="s">
        <v>7</v>
      </c>
      <c r="J3" s="8" t="s">
        <v>34</v>
      </c>
      <c r="K3" s="9" t="s">
        <v>8</v>
      </c>
      <c r="L3" s="10" t="s">
        <v>9</v>
      </c>
      <c r="P3" s="18" t="s">
        <v>10</v>
      </c>
      <c r="Q3" s="19" t="s">
        <v>11</v>
      </c>
      <c r="R3" s="19"/>
      <c r="S3" s="20"/>
    </row>
    <row r="4" spans="1:19" ht="15" x14ac:dyDescent="0.25">
      <c r="A4" s="11" t="s">
        <v>1</v>
      </c>
      <c r="B4" s="29"/>
      <c r="C4" s="29"/>
      <c r="D4" s="29"/>
      <c r="E4" s="29"/>
      <c r="F4" s="29"/>
      <c r="G4" s="29"/>
      <c r="H4" s="29"/>
      <c r="I4" s="30"/>
      <c r="J4" s="30"/>
      <c r="K4" s="30"/>
      <c r="L4" s="12" t="str">
        <f>IF(ISNUMBER(MATCH(K4,$P$3:$P$10,0)),LOOKUP(1,0/(K4=$P$3:$P$10),$Q$3:$Q$10),"未中奖")</f>
        <v>未中奖</v>
      </c>
      <c r="P4" s="21" t="s">
        <v>12</v>
      </c>
      <c r="Q4" s="17" t="s">
        <v>11</v>
      </c>
      <c r="R4" s="17"/>
      <c r="S4" s="3"/>
    </row>
    <row r="5" spans="1:19" ht="15" x14ac:dyDescent="0.25">
      <c r="A5" s="13" t="s">
        <v>2</v>
      </c>
      <c r="B5" s="29"/>
      <c r="C5" s="29"/>
      <c r="D5" s="29"/>
      <c r="E5" s="29"/>
      <c r="F5" s="29"/>
      <c r="G5" s="29"/>
      <c r="H5" s="29"/>
      <c r="I5" s="31"/>
      <c r="J5" s="31"/>
      <c r="K5" s="31"/>
      <c r="L5" s="14" t="str">
        <f>IF(ISNUMBER(MATCH(K5,$P$3:$P$10,0)),LOOKUP(1,0/(K5=$P$3:$P$10),$Q$3:$Q$10),"未中奖")</f>
        <v>未中奖</v>
      </c>
      <c r="P5" s="21" t="s">
        <v>13</v>
      </c>
      <c r="Q5" s="17" t="s">
        <v>14</v>
      </c>
      <c r="R5" s="17"/>
      <c r="S5" s="3"/>
    </row>
    <row r="6" spans="1:19" ht="15" x14ac:dyDescent="0.25">
      <c r="A6" s="13" t="s">
        <v>3</v>
      </c>
      <c r="B6" s="29"/>
      <c r="C6" s="29"/>
      <c r="D6" s="29"/>
      <c r="E6" s="29"/>
      <c r="F6" s="29"/>
      <c r="G6" s="29"/>
      <c r="H6" s="29"/>
      <c r="I6" s="31"/>
      <c r="J6" s="31"/>
      <c r="K6" s="31"/>
      <c r="L6" s="14" t="str">
        <f>IF(ISNUMBER(MATCH(K6,$P$3:$P$10,0)),LOOKUP(1,0/(K6=$P$3:$P$10),$Q$3:$Q$10),"未中奖")</f>
        <v>未中奖</v>
      </c>
      <c r="P6" s="21" t="s">
        <v>15</v>
      </c>
      <c r="Q6" s="17" t="s">
        <v>16</v>
      </c>
      <c r="R6" s="17"/>
      <c r="S6" s="3"/>
    </row>
    <row r="7" spans="1:19" ht="15" x14ac:dyDescent="0.25">
      <c r="A7" s="13" t="s">
        <v>4</v>
      </c>
      <c r="B7" s="29"/>
      <c r="C7" s="29"/>
      <c r="D7" s="29"/>
      <c r="E7" s="29"/>
      <c r="F7" s="29"/>
      <c r="G7" s="29"/>
      <c r="H7" s="29"/>
      <c r="I7" s="31"/>
      <c r="J7" s="31"/>
      <c r="K7" s="31"/>
      <c r="L7" s="14" t="str">
        <f>IF(ISNUMBER(MATCH(K7,$P$3:$P$10,0)),LOOKUP(1,0/(K7=$P$3:$P$10),$Q$3:$Q$10),"未中奖")</f>
        <v>未中奖</v>
      </c>
      <c r="P7" s="2"/>
      <c r="Q7" s="1"/>
      <c r="R7" s="17"/>
      <c r="S7" s="3"/>
    </row>
    <row r="8" spans="1:19" ht="15.6" thickBot="1" x14ac:dyDescent="0.3">
      <c r="A8" s="15" t="s">
        <v>5</v>
      </c>
      <c r="B8" s="29"/>
      <c r="C8" s="29"/>
      <c r="D8" s="29"/>
      <c r="E8" s="29"/>
      <c r="F8" s="29"/>
      <c r="G8" s="29"/>
      <c r="H8" s="29"/>
      <c r="I8" s="32"/>
      <c r="J8" s="32"/>
      <c r="K8" s="32"/>
      <c r="L8" s="16" t="str">
        <f>IF(ISNUMBER(MATCH(K8,$P$3:$P$10,0)),LOOKUP(1,0/(K8=$P$3:$P$10),$Q$3:$Q$10),"未中奖")</f>
        <v>未中奖</v>
      </c>
      <c r="P8" s="21" t="s">
        <v>17</v>
      </c>
      <c r="Q8" s="17" t="s">
        <v>18</v>
      </c>
      <c r="R8" s="17"/>
      <c r="S8" s="3"/>
    </row>
    <row r="9" spans="1:19" x14ac:dyDescent="0.25">
      <c r="P9" s="2"/>
      <c r="Q9" s="1"/>
      <c r="R9" s="1"/>
      <c r="S9" s="3"/>
    </row>
    <row r="10" spans="1:19" ht="15" x14ac:dyDescent="0.25">
      <c r="P10" s="21" t="s">
        <v>19</v>
      </c>
      <c r="Q10" s="17" t="s">
        <v>20</v>
      </c>
      <c r="R10" s="1"/>
      <c r="S10" s="3"/>
    </row>
    <row r="11" spans="1:19" x14ac:dyDescent="0.25">
      <c r="P11" s="2"/>
      <c r="Q11" s="1"/>
      <c r="R11" s="1"/>
      <c r="S11" s="3"/>
    </row>
    <row r="12" spans="1:19" ht="15" thickBot="1" x14ac:dyDescent="0.3">
      <c r="P12" s="4"/>
      <c r="Q12" s="22"/>
      <c r="R12" s="22"/>
      <c r="S12" s="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win">
                <anchor moveWithCells="1" sizeWithCells="1">
                  <from>
                    <xdr:col>11</xdr:col>
                    <xdr:colOff>601980</xdr:colOff>
                    <xdr:row>1</xdr:row>
                    <xdr:rowOff>182880</xdr:rowOff>
                  </from>
                  <to>
                    <xdr:col>14</xdr:col>
                    <xdr:colOff>236220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resetwin">
                <anchor moveWithCells="1" sizeWithCells="1">
                  <from>
                    <xdr:col>11</xdr:col>
                    <xdr:colOff>601980</xdr:colOff>
                    <xdr:row>8</xdr:row>
                    <xdr:rowOff>7620</xdr:rowOff>
                  </from>
                  <to>
                    <xdr:col>14</xdr:col>
                    <xdr:colOff>220980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选号</vt:lpstr>
      <vt:lpstr>查询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2025-10-12T15:40:31Z</dcterms:modified>
</cp:coreProperties>
</file>